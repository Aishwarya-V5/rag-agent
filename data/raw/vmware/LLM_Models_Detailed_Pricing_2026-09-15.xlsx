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v5techsolindia-my.sharepoint.com/personal/abhishekj_v5techsol_com/Documents/Desktop/AI_Commercials/"/>
    </mc:Choice>
  </mc:AlternateContent>
  <xr:revisionPtr revIDLastSave="1" documentId="11_B7278FA8BD9F17D836CBE33528111489C46AD17E" xr6:coauthVersionLast="47" xr6:coauthVersionMax="47" xr10:uidLastSave="{B8F0F8FC-C1F3-4295-A07F-AB2182F9A814}"/>
  <bookViews>
    <workbookView xWindow="-110" yWindow="-110" windowWidth="19420" windowHeight="10300" xr2:uid="{00000000-000D-0000-FFFF-FFFF00000000}"/>
  </bookViews>
  <sheets>
    <sheet name="LLM Pricing" sheetId="1" r:id="rId1"/>
    <sheet name="Summary" sheetId="2" r:id="rId2"/>
    <sheet name="Cost Calculator" sheetId="3" r:id="rId3"/>
    <sheet name="Official Sources" sheetId="4" r:id="rId4"/>
    <sheet name="No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G2" i="3" s="1"/>
</calcChain>
</file>

<file path=xl/sharedStrings.xml><?xml version="1.0" encoding="utf-8"?>
<sst xmlns="http://schemas.openxmlformats.org/spreadsheetml/2006/main" count="488" uniqueCount="246">
  <si>
    <t>Provider</t>
  </si>
  <si>
    <t>Model</t>
  </si>
  <si>
    <t>Model ID</t>
  </si>
  <si>
    <t>Category</t>
  </si>
  <si>
    <t>Context</t>
  </si>
  <si>
    <t>Input $/1M</t>
  </si>
  <si>
    <t>Cached $/1M</t>
  </si>
  <si>
    <t>Output $/1M</t>
  </si>
  <si>
    <t>Batch Input $/1M</t>
  </si>
  <si>
    <t>Batch Output $/1M</t>
  </si>
  <si>
    <t>Free/Trial</t>
  </si>
  <si>
    <t>Modality</t>
  </si>
  <si>
    <t>Notes</t>
  </si>
  <si>
    <t>Official Source</t>
  </si>
  <si>
    <t>OpenAI</t>
  </si>
  <si>
    <t>GPT-5.6 Sol</t>
  </si>
  <si>
    <t>gpt-5.6</t>
  </si>
  <si>
    <t>Flagship reasoning</t>
  </si>
  <si>
    <t>1,050,000</t>
  </si>
  <si>
    <t>No</t>
  </si>
  <si>
    <t>Text</t>
  </si>
  <si>
    <t>Reasoning; max output 128K</t>
  </si>
  <si>
    <t>https://developers.openai.com/api/docs/models/gpt-5.6-sol</t>
  </si>
  <si>
    <t>GPT-5.5</t>
  </si>
  <si>
    <t>gpt-5.5</t>
  </si>
  <si>
    <t>Frontier reasoning</t>
  </si>
  <si>
    <t>https://help.openai.com/en/articles/20001415</t>
  </si>
  <si>
    <t>GPT-5.5 Pro</t>
  </si>
  <si>
    <t>gpt-5.5-pro</t>
  </si>
  <si>
    <t>Premium reasoning</t>
  </si>
  <si>
    <t>No cached-input rate listed</t>
  </si>
  <si>
    <t>Anthropic</t>
  </si>
  <si>
    <t>Claude Opus 4</t>
  </si>
  <si>
    <t>claude-opus-4</t>
  </si>
  <si>
    <t>High-end reasoning</t>
  </si>
  <si>
    <t>200K+</t>
  </si>
  <si>
    <t>Trial limited</t>
  </si>
  <si>
    <t>Text/vision</t>
  </si>
  <si>
    <t>Batch 50% of standard</t>
  </si>
  <si>
    <t>https://www.anthropic.com/pricing</t>
  </si>
  <si>
    <t>Claude Sonnet 4</t>
  </si>
  <si>
    <t>claude-sonnet-4</t>
  </si>
  <si>
    <t>Balanced</t>
  </si>
  <si>
    <t>Claude Haiku 3.5</t>
  </si>
  <si>
    <t>claude-3-5-haiku</t>
  </si>
  <si>
    <t>Fast/cost-efficient</t>
  </si>
  <si>
    <t>200K</t>
  </si>
  <si>
    <t>Older Haiku generation</t>
  </si>
  <si>
    <t>Google</t>
  </si>
  <si>
    <t>Gemini 3.8 Flash</t>
  </si>
  <si>
    <t>gemini-3.8-flash</t>
  </si>
  <si>
    <t>Flash/agentic</t>
  </si>
  <si>
    <t>Not stated</t>
  </si>
  <si>
    <t>Free tier</t>
  </si>
  <si>
    <t>Multimodal</t>
  </si>
  <si>
    <t>Rates through 2026-12-31</t>
  </si>
  <si>
    <t>https://ai.google.dev/gemini-api/docs/pricing</t>
  </si>
  <si>
    <t>Gemini 3.7 Flash</t>
  </si>
  <si>
    <t>gemini-3.7-flash</t>
  </si>
  <si>
    <t>Gemini 3.6 Flash</t>
  </si>
  <si>
    <t>gemini-3.6-flash</t>
  </si>
  <si>
    <t>Flash</t>
  </si>
  <si>
    <t>Previous-generation Flash</t>
  </si>
  <si>
    <t>Gemini 3.5 Flash</t>
  </si>
  <si>
    <t>gemini-3.5-flash</t>
  </si>
  <si>
    <t>Earlier Flash</t>
  </si>
  <si>
    <t>Gemini 3.1 Flash-Lite</t>
  </si>
  <si>
    <t>gemini-3.1-flash-lite</t>
  </si>
  <si>
    <t>Low-cost</t>
  </si>
  <si>
    <t>High-throughput model</t>
  </si>
  <si>
    <t>Gemini 2.5 Pro</t>
  </si>
  <si>
    <t>gemini-2.5-pro</t>
  </si>
  <si>
    <t>Advanced reasoning</t>
  </si>
  <si>
    <t>1M</t>
  </si>
  <si>
    <t>&gt;200K input tier is higher</t>
  </si>
  <si>
    <t>Mistral</t>
  </si>
  <si>
    <t>Mistral Large 3</t>
  </si>
  <si>
    <t>mistral-large-latest</t>
  </si>
  <si>
    <t>Flagship</t>
  </si>
  <si>
    <t>Free plan limited</t>
  </si>
  <si>
    <t>Batch 50%; cached input discount</t>
  </si>
  <si>
    <t>https://docs.mistral.ai/inference/pricing</t>
  </si>
  <si>
    <t>Mistral Medium 3.5</t>
  </si>
  <si>
    <t>mistral-medium-latest</t>
  </si>
  <si>
    <t>Flagship/agentic</t>
  </si>
  <si>
    <t>Agentic coding</t>
  </si>
  <si>
    <t>Mistral Small 4</t>
  </si>
  <si>
    <t>mistral-small-latest</t>
  </si>
  <si>
    <t>Cost-efficient</t>
  </si>
  <si>
    <t>Apache 2.0</t>
  </si>
  <si>
    <t>Ministral 3 14B</t>
  </si>
  <si>
    <t>ministral-3-14b</t>
  </si>
  <si>
    <t>Small</t>
  </si>
  <si>
    <t>Ministral 3 8B</t>
  </si>
  <si>
    <t>ministral-3-8b</t>
  </si>
  <si>
    <t>Ministral 3 3B</t>
  </si>
  <si>
    <t>ministral-3-3b</t>
  </si>
  <si>
    <t>DeepSeek</t>
  </si>
  <si>
    <t>DeepSeek-V4.1-Flash</t>
  </si>
  <si>
    <t>deepseek-flash</t>
  </si>
  <si>
    <t>Low-cost frontier</t>
  </si>
  <si>
    <t>Peak prices double; off-peak half; cache-hit much lower</t>
  </si>
  <si>
    <t>https://api-docs.deepseek.com/quick_start/pricing/</t>
  </si>
  <si>
    <t>DeepSeek-V4-Pro</t>
  </si>
  <si>
    <t>deepseek-v4-pro</t>
  </si>
  <si>
    <t>Pro</t>
  </si>
  <si>
    <t>Currently routed to V4.1 Flash until V4.1 Pro</t>
  </si>
  <si>
    <t>xAI</t>
  </si>
  <si>
    <t>Grok 4.6</t>
  </si>
  <si>
    <t>grok-4.6</t>
  </si>
  <si>
    <t>500K</t>
  </si>
  <si>
    <t>Long context &gt;=200K has higher rates</t>
  </si>
  <si>
    <t>https://docs.x.ai/developers/pricing</t>
  </si>
  <si>
    <t>Grok 4.5</t>
  </si>
  <si>
    <t>grok-4.5</t>
  </si>
  <si>
    <t>Frontier</t>
  </si>
  <si>
    <t>Grok 4.3</t>
  </si>
  <si>
    <t>grok-4.3</t>
  </si>
  <si>
    <t>Grok 4.2 Multi-Agent</t>
  </si>
  <si>
    <t>grok-4.2-multi-agent-0309</t>
  </si>
  <si>
    <t>Agentic</t>
  </si>
  <si>
    <t>Grok 4.2 Reasoning</t>
  </si>
  <si>
    <t>grok-4.2-0309-reasoning</t>
  </si>
  <si>
    <t>Reasoning</t>
  </si>
  <si>
    <t>Cohere</t>
  </si>
  <si>
    <t>Command A+</t>
  </si>
  <si>
    <t>command-a-plus</t>
  </si>
  <si>
    <t>Enterprise</t>
  </si>
  <si>
    <t>Contact Sales</t>
  </si>
  <si>
    <t>Production access may require sales</t>
  </si>
  <si>
    <t>https://docs.cohere.com/v1/docs/rate-limits</t>
  </si>
  <si>
    <t>Command A Reasoning</t>
  </si>
  <si>
    <t>command-a-reasoning</t>
  </si>
  <si>
    <t>Production access requires sales per rate-limit page</t>
  </si>
  <si>
    <t>Command A</t>
  </si>
  <si>
    <t>command-a</t>
  </si>
  <si>
    <t>Generation</t>
  </si>
  <si>
    <t>Contact/see pricing</t>
  </si>
  <si>
    <t>500 RPM production limit listed</t>
  </si>
  <si>
    <t>Command R7B</t>
  </si>
  <si>
    <t>command-r7b</t>
  </si>
  <si>
    <t>Efficient</t>
  </si>
  <si>
    <t>Command R 03-2024</t>
  </si>
  <si>
    <t>command-r-03-2024</t>
  </si>
  <si>
    <t>Legacy</t>
  </si>
  <si>
    <t>Existing customers</t>
  </si>
  <si>
    <t>Legacy price</t>
  </si>
  <si>
    <t>https://cohere.com/pricing</t>
  </si>
  <si>
    <t>Command R+ 04-2024</t>
  </si>
  <si>
    <t>command-r-plus-04-2024</t>
  </si>
  <si>
    <t>Alibaba/Qwen</t>
  </si>
  <si>
    <t>Qwen3.8-Max</t>
  </si>
  <si>
    <t>qwen3.8-max</t>
  </si>
  <si>
    <t>Region dependent</t>
  </si>
  <si>
    <t>China pricing; context/cache discounts vary</t>
  </si>
  <si>
    <t>https://www.alibabacloud.com/help/en/model-studio/model-pricing</t>
  </si>
  <si>
    <t>Qwen3.5-Plus</t>
  </si>
  <si>
    <t>qwen3.5-plus</t>
  </si>
  <si>
    <t>General/agentic</t>
  </si>
  <si>
    <t>Singapore international pricing shown</t>
  </si>
  <si>
    <t>https://www.alibabacloud.com/help/en/model-studio/qwen3-5-plus</t>
  </si>
  <si>
    <t>Qwen3.5-Flash</t>
  </si>
  <si>
    <t>qwen3.5-flash</t>
  </si>
  <si>
    <t>China pricing shown</t>
  </si>
  <si>
    <t>https://www.alibabacloud.com/help/en/model-studio/qwen3-5-flash</t>
  </si>
  <si>
    <t>Qwen3-Max</t>
  </si>
  <si>
    <t>qwen3-max</t>
  </si>
  <si>
    <t>262K</t>
  </si>
  <si>
    <t>Beijing &lt;=32K tier; longer inputs cost more</t>
  </si>
  <si>
    <t>https://www.alibabacloud.com/help/en/model-studio/model-qwen3-max</t>
  </si>
  <si>
    <t>Qwen3-Coder-Plus</t>
  </si>
  <si>
    <t>qwen3-coder-plus</t>
  </si>
  <si>
    <t>Coding</t>
  </si>
  <si>
    <t>International &lt;=32K tier; higher tiers for longer context</t>
  </si>
  <si>
    <t>Qwen3-Coder-Flash</t>
  </si>
  <si>
    <t>qwen3-coder-flash</t>
  </si>
  <si>
    <t>Qwen3-235B-A22B</t>
  </si>
  <si>
    <t>qwen3-235b-a22b</t>
  </si>
  <si>
    <t>Open/large</t>
  </si>
  <si>
    <t>Thinking and non-thinking</t>
  </si>
  <si>
    <t>Qwen3-32B</t>
  </si>
  <si>
    <t>qwen3-32b</t>
  </si>
  <si>
    <t>Open/medium</t>
  </si>
  <si>
    <t>Qwen3-8B</t>
  </si>
  <si>
    <t>qwen3-8b</t>
  </si>
  <si>
    <t>Open/small</t>
  </si>
  <si>
    <t>Groq</t>
  </si>
  <si>
    <t>GPT-OSS 120B</t>
  </si>
  <si>
    <t>openai/gpt-oss-120b</t>
  </si>
  <si>
    <t>Open-weight reasoning</t>
  </si>
  <si>
    <t>131,072</t>
  </si>
  <si>
    <t>Free/Developer</t>
  </si>
  <si>
    <t>~500 tok/s; max output 65,536</t>
  </si>
  <si>
    <t>https://console.groq.com/docs/models</t>
  </si>
  <si>
    <t>GPT-OSS 20B</t>
  </si>
  <si>
    <t>openai/gpt-oss-20b</t>
  </si>
  <si>
    <t>~1000 tok/s; max output 65,536</t>
  </si>
  <si>
    <t>Llama 3.1 8B Instant</t>
  </si>
  <si>
    <t>llama-3.1-8b-instant</t>
  </si>
  <si>
    <t>Fast Llama</t>
  </si>
  <si>
    <t>Llama 3.3 70B Versatile</t>
  </si>
  <si>
    <t>llama-3.3-70b-versatile</t>
  </si>
  <si>
    <t>Large Llama</t>
  </si>
  <si>
    <t>LLM Models &amp; Pricing — Major API Providers</t>
  </si>
  <si>
    <t>Reference date</t>
  </si>
  <si>
    <t>2026-09-15</t>
  </si>
  <si>
    <t>USD/INR reference</t>
  </si>
  <si>
    <t>Reference only; actual bank/provider conversion may differ.</t>
  </si>
  <si>
    <t>Providers included</t>
  </si>
  <si>
    <t>Model rows included</t>
  </si>
  <si>
    <t>Scope</t>
  </si>
  <si>
    <t>Major commercial/API providers and current model lines found on official sources. Not literally every open-source model or reseller.</t>
  </si>
  <si>
    <t>Pricing caveat</t>
  </si>
  <si>
    <t>Pricing can depend on region, context length, cache, batch, service tier, promotions and model lifecycle.</t>
  </si>
  <si>
    <t>Provider/Model</t>
  </si>
  <si>
    <t>Input Tokens</t>
  </si>
  <si>
    <t>Output Tokens</t>
  </si>
  <si>
    <t>Estimated USD</t>
  </si>
  <si>
    <t>Estimated INR</t>
  </si>
  <si>
    <t>Official URL</t>
  </si>
  <si>
    <t>Use</t>
  </si>
  <si>
    <t>GPT-5.6 model/pricing</t>
  </si>
  <si>
    <t>Current token rates</t>
  </si>
  <si>
    <t>Claude pricing</t>
  </si>
  <si>
    <t>Gemini pricing</t>
  </si>
  <si>
    <t>https://ai.google.dev/gemini-api/docs/models</t>
  </si>
  <si>
    <t>Gemini model catalog</t>
  </si>
  <si>
    <t>Mistral pricing</t>
  </si>
  <si>
    <t>DeepSeek pricing</t>
  </si>
  <si>
    <t>Grok pricing</t>
  </si>
  <si>
    <t>Cohere pricing</t>
  </si>
  <si>
    <t>Cohere availability</t>
  </si>
  <si>
    <t>Qwen pricing</t>
  </si>
  <si>
    <t>Hosted model pricing</t>
  </si>
  <si>
    <t>Topic</t>
  </si>
  <si>
    <t>Details</t>
  </si>
  <si>
    <t>Pricing unit</t>
  </si>
  <si>
    <t>Most rows are USD per 1M input/output tokens. Some providers also charge for cache, batch, tools, audio, pages or other units.</t>
  </si>
  <si>
    <t>Qwen</t>
  </si>
  <si>
    <t>Pricing is highly region/context dependent; the workbook records the region/tier reflected by the official source.</t>
  </si>
  <si>
    <t>Several Gemini prices shown are promotional/period-specific through Dec 31, 2026.</t>
  </si>
  <si>
    <t>V4 pricing uses peak/off-peak schedules; V4 Pro is currently routed to V4.1 Flash according to the official page.</t>
  </si>
  <si>
    <t>FX</t>
  </si>
  <si>
    <t>INR examples use 95.86 INR/USD as a reference on Sep 15, 2026.</t>
  </si>
  <si>
    <t>Freshness</t>
  </si>
  <si>
    <t>Always verify the official pricing page before production purchasing.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</si>
</sst>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00"/>
    <numFmt numFmtId="165" formatCode="\₹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LMPrices" displayName="LLMPrices" ref="A1:N45">
  <autoFilter ref="A1:N45" xr:uid="{00000000-0009-0000-0100-000001000000}"/>
  <tableColumns count="14">
    <tableColumn id="1" xr3:uid="{00000000-0010-0000-0000-000001000000}" name="Provider"/>
    <tableColumn id="2" xr3:uid="{00000000-0010-0000-0000-000002000000}" name="Model"/>
    <tableColumn id="3" xr3:uid="{00000000-0010-0000-0000-000003000000}" name="Model ID"/>
    <tableColumn id="4" xr3:uid="{00000000-0010-0000-0000-000004000000}" name="Category"/>
    <tableColumn id="5" xr3:uid="{00000000-0010-0000-0000-000005000000}" name="Context"/>
    <tableColumn id="6" xr3:uid="{00000000-0010-0000-0000-000006000000}" name="Input $/1M"/>
    <tableColumn id="7" xr3:uid="{00000000-0010-0000-0000-000007000000}" name="Cached $/1M"/>
    <tableColumn id="8" xr3:uid="{00000000-0010-0000-0000-000008000000}" name="Output $/1M"/>
    <tableColumn id="9" xr3:uid="{00000000-0010-0000-0000-000009000000}" name="Batch Input $/1M"/>
    <tableColumn id="10" xr3:uid="{00000000-0010-0000-0000-00000A000000}" name="Batch Output $/1M"/>
    <tableColumn id="11" xr3:uid="{00000000-0010-0000-0000-00000B000000}" name="Free/Trial"/>
    <tableColumn id="12" xr3:uid="{00000000-0010-0000-0000-00000C000000}" name="Modality"/>
    <tableColumn id="13" xr3:uid="{00000000-0010-0000-0000-00000D000000}" name="Notes"/>
    <tableColumn id="14" xr3:uid="{00000000-0010-0000-0000-00000E000000}" name="Official 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zoomScale="44" workbookViewId="0">
      <pane ySplit="1" topLeftCell="A24" activePane="bottomLeft" state="frozen"/>
      <selection pane="bottomLeft"/>
    </sheetView>
  </sheetViews>
  <sheetFormatPr defaultRowHeight="14.5" x14ac:dyDescent="0.35"/>
  <cols>
    <col min="1" max="1" width="16" customWidth="1"/>
    <col min="2" max="2" width="27" customWidth="1"/>
    <col min="3" max="3" width="34" customWidth="1"/>
    <col min="4" max="4" width="24" customWidth="1"/>
    <col min="5" max="5" width="16" customWidth="1"/>
    <col min="6" max="6" width="14" customWidth="1"/>
    <col min="7" max="7" width="47.81640625" customWidth="1"/>
    <col min="8" max="8" width="14" customWidth="1"/>
    <col min="9" max="9" width="18" customWidth="1"/>
    <col min="10" max="10" width="19" customWidth="1"/>
    <col min="11" max="12" width="18" customWidth="1"/>
    <col min="13" max="13" width="65" customWidth="1"/>
    <col min="14" max="14" width="5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>
        <v>4</v>
      </c>
      <c r="G2" s="3">
        <v>0.4</v>
      </c>
      <c r="H2" s="3">
        <v>20</v>
      </c>
      <c r="I2" s="2"/>
      <c r="J2" s="2"/>
      <c r="K2" s="2" t="s">
        <v>19</v>
      </c>
      <c r="L2" s="2" t="s">
        <v>20</v>
      </c>
      <c r="M2" s="2" t="s">
        <v>21</v>
      </c>
      <c r="N2" s="2" t="s">
        <v>22</v>
      </c>
    </row>
    <row r="3" spans="1:14" x14ac:dyDescent="0.35">
      <c r="A3" s="2" t="s">
        <v>14</v>
      </c>
      <c r="B3" s="2" t="s">
        <v>23</v>
      </c>
      <c r="C3" s="2" t="s">
        <v>24</v>
      </c>
      <c r="D3" s="2" t="s">
        <v>25</v>
      </c>
      <c r="E3" s="2" t="s">
        <v>18</v>
      </c>
      <c r="F3" s="3">
        <v>5</v>
      </c>
      <c r="G3" s="3">
        <v>0.5</v>
      </c>
      <c r="H3" s="3">
        <v>30</v>
      </c>
      <c r="I3" s="2"/>
      <c r="J3" s="2"/>
      <c r="K3" s="2" t="s">
        <v>19</v>
      </c>
      <c r="L3" s="2" t="s">
        <v>20</v>
      </c>
      <c r="M3" s="2"/>
      <c r="N3" s="2" t="s">
        <v>26</v>
      </c>
    </row>
    <row r="4" spans="1:14" x14ac:dyDescent="0.35">
      <c r="A4" s="2" t="s">
        <v>14</v>
      </c>
      <c r="B4" s="2" t="s">
        <v>27</v>
      </c>
      <c r="C4" s="2" t="s">
        <v>28</v>
      </c>
      <c r="D4" s="2" t="s">
        <v>29</v>
      </c>
      <c r="E4" s="2" t="s">
        <v>18</v>
      </c>
      <c r="F4" s="3">
        <v>30</v>
      </c>
      <c r="G4" s="2"/>
      <c r="H4" s="3">
        <v>180</v>
      </c>
      <c r="I4" s="2"/>
      <c r="J4" s="2"/>
      <c r="K4" s="2" t="s">
        <v>19</v>
      </c>
      <c r="L4" s="2" t="s">
        <v>20</v>
      </c>
      <c r="M4" s="2" t="s">
        <v>30</v>
      </c>
      <c r="N4" s="2" t="s">
        <v>26</v>
      </c>
    </row>
    <row r="5" spans="1:14" x14ac:dyDescent="0.3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3">
        <v>15</v>
      </c>
      <c r="G5" s="3">
        <v>1.5</v>
      </c>
      <c r="H5" s="3">
        <v>75</v>
      </c>
      <c r="I5" s="3">
        <v>7.5</v>
      </c>
      <c r="J5" s="3">
        <v>37.5</v>
      </c>
      <c r="K5" s="2" t="s">
        <v>36</v>
      </c>
      <c r="L5" s="2" t="s">
        <v>37</v>
      </c>
      <c r="M5" s="2" t="s">
        <v>38</v>
      </c>
      <c r="N5" s="2" t="s">
        <v>39</v>
      </c>
    </row>
    <row r="6" spans="1:14" x14ac:dyDescent="0.35">
      <c r="A6" s="2" t="s">
        <v>31</v>
      </c>
      <c r="B6" s="2" t="s">
        <v>40</v>
      </c>
      <c r="C6" s="2" t="s">
        <v>41</v>
      </c>
      <c r="D6" s="2" t="s">
        <v>42</v>
      </c>
      <c r="E6" s="2" t="s">
        <v>35</v>
      </c>
      <c r="F6" s="3">
        <v>3</v>
      </c>
      <c r="G6" s="3">
        <v>0.3</v>
      </c>
      <c r="H6" s="3">
        <v>15</v>
      </c>
      <c r="I6" s="3">
        <v>1.5</v>
      </c>
      <c r="J6" s="3">
        <v>7.5</v>
      </c>
      <c r="K6" s="2" t="s">
        <v>36</v>
      </c>
      <c r="L6" s="2" t="s">
        <v>37</v>
      </c>
      <c r="M6" s="2" t="s">
        <v>38</v>
      </c>
      <c r="N6" s="2" t="s">
        <v>39</v>
      </c>
    </row>
    <row r="7" spans="1:14" x14ac:dyDescent="0.35">
      <c r="A7" s="2" t="s">
        <v>31</v>
      </c>
      <c r="B7" s="2" t="s">
        <v>43</v>
      </c>
      <c r="C7" s="2" t="s">
        <v>44</v>
      </c>
      <c r="D7" s="2" t="s">
        <v>45</v>
      </c>
      <c r="E7" s="2" t="s">
        <v>46</v>
      </c>
      <c r="F7" s="3">
        <v>0.8</v>
      </c>
      <c r="G7" s="3">
        <v>0.08</v>
      </c>
      <c r="H7" s="3">
        <v>4</v>
      </c>
      <c r="I7" s="3">
        <v>0.4</v>
      </c>
      <c r="J7" s="3">
        <v>2</v>
      </c>
      <c r="K7" s="2" t="s">
        <v>36</v>
      </c>
      <c r="L7" s="2" t="s">
        <v>37</v>
      </c>
      <c r="M7" s="2" t="s">
        <v>47</v>
      </c>
      <c r="N7" s="2" t="s">
        <v>39</v>
      </c>
    </row>
    <row r="8" spans="1:14" x14ac:dyDescent="0.35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3">
        <v>0.75</v>
      </c>
      <c r="G8" s="3">
        <v>7.4999999999999997E-2</v>
      </c>
      <c r="H8" s="3">
        <v>3.75</v>
      </c>
      <c r="I8" s="3">
        <v>0.375</v>
      </c>
      <c r="J8" s="3">
        <v>1.875</v>
      </c>
      <c r="K8" s="2" t="s">
        <v>53</v>
      </c>
      <c r="L8" s="2" t="s">
        <v>54</v>
      </c>
      <c r="M8" s="2" t="s">
        <v>55</v>
      </c>
      <c r="N8" s="2" t="s">
        <v>56</v>
      </c>
    </row>
    <row r="9" spans="1:14" x14ac:dyDescent="0.35">
      <c r="A9" s="2" t="s">
        <v>48</v>
      </c>
      <c r="B9" s="2" t="s">
        <v>57</v>
      </c>
      <c r="C9" s="2" t="s">
        <v>58</v>
      </c>
      <c r="D9" s="2" t="s">
        <v>51</v>
      </c>
      <c r="E9" s="2" t="s">
        <v>52</v>
      </c>
      <c r="F9" s="3">
        <v>0.75</v>
      </c>
      <c r="G9" s="3">
        <v>7.4999999999999997E-2</v>
      </c>
      <c r="H9" s="3">
        <v>3.75</v>
      </c>
      <c r="I9" s="3">
        <v>0.375</v>
      </c>
      <c r="J9" s="3">
        <v>1.875</v>
      </c>
      <c r="K9" s="2" t="s">
        <v>53</v>
      </c>
      <c r="L9" s="2" t="s">
        <v>54</v>
      </c>
      <c r="M9" s="2" t="s">
        <v>55</v>
      </c>
      <c r="N9" s="2" t="s">
        <v>56</v>
      </c>
    </row>
    <row r="10" spans="1:14" x14ac:dyDescent="0.35">
      <c r="A10" s="2" t="s">
        <v>48</v>
      </c>
      <c r="B10" s="2" t="s">
        <v>59</v>
      </c>
      <c r="C10" s="2" t="s">
        <v>60</v>
      </c>
      <c r="D10" s="2" t="s">
        <v>61</v>
      </c>
      <c r="E10" s="2" t="s">
        <v>52</v>
      </c>
      <c r="F10" s="3">
        <v>0.75</v>
      </c>
      <c r="G10" s="3">
        <v>7.4999999999999997E-2</v>
      </c>
      <c r="H10" s="3">
        <v>3.75</v>
      </c>
      <c r="I10" s="3">
        <v>0.375</v>
      </c>
      <c r="J10" s="3">
        <v>1.875</v>
      </c>
      <c r="K10" s="2" t="s">
        <v>53</v>
      </c>
      <c r="L10" s="2" t="s">
        <v>54</v>
      </c>
      <c r="M10" s="2" t="s">
        <v>62</v>
      </c>
      <c r="N10" s="2" t="s">
        <v>56</v>
      </c>
    </row>
    <row r="11" spans="1:14" x14ac:dyDescent="0.35">
      <c r="A11" s="2" t="s">
        <v>48</v>
      </c>
      <c r="B11" s="2" t="s">
        <v>63</v>
      </c>
      <c r="C11" s="2" t="s">
        <v>64</v>
      </c>
      <c r="D11" s="2" t="s">
        <v>61</v>
      </c>
      <c r="E11" s="2" t="s">
        <v>52</v>
      </c>
      <c r="F11" s="3">
        <v>1.5</v>
      </c>
      <c r="G11" s="3">
        <v>0.15</v>
      </c>
      <c r="H11" s="3">
        <v>9</v>
      </c>
      <c r="I11" s="3">
        <v>0.75</v>
      </c>
      <c r="J11" s="3">
        <v>4.5</v>
      </c>
      <c r="K11" s="2" t="s">
        <v>53</v>
      </c>
      <c r="L11" s="2" t="s">
        <v>54</v>
      </c>
      <c r="M11" s="2" t="s">
        <v>65</v>
      </c>
      <c r="N11" s="2" t="s">
        <v>56</v>
      </c>
    </row>
    <row r="12" spans="1:14" x14ac:dyDescent="0.35">
      <c r="A12" s="2" t="s">
        <v>48</v>
      </c>
      <c r="B12" s="2" t="s">
        <v>66</v>
      </c>
      <c r="C12" s="2" t="s">
        <v>67</v>
      </c>
      <c r="D12" s="2" t="s">
        <v>68</v>
      </c>
      <c r="E12" s="2" t="s">
        <v>52</v>
      </c>
      <c r="F12" s="3">
        <v>0.25</v>
      </c>
      <c r="G12" s="3">
        <v>2.5000000000000001E-2</v>
      </c>
      <c r="H12" s="3">
        <v>1.5</v>
      </c>
      <c r="I12" s="3">
        <v>0.125</v>
      </c>
      <c r="J12" s="3">
        <v>0.75</v>
      </c>
      <c r="K12" s="2" t="s">
        <v>53</v>
      </c>
      <c r="L12" s="2" t="s">
        <v>54</v>
      </c>
      <c r="M12" s="2" t="s">
        <v>69</v>
      </c>
      <c r="N12" s="2" t="s">
        <v>56</v>
      </c>
    </row>
    <row r="13" spans="1:14" x14ac:dyDescent="0.35">
      <c r="A13" s="2" t="s">
        <v>48</v>
      </c>
      <c r="B13" s="2" t="s">
        <v>70</v>
      </c>
      <c r="C13" s="2" t="s">
        <v>71</v>
      </c>
      <c r="D13" s="2" t="s">
        <v>72</v>
      </c>
      <c r="E13" s="2" t="s">
        <v>73</v>
      </c>
      <c r="F13" s="3">
        <v>1.25</v>
      </c>
      <c r="G13" s="2"/>
      <c r="H13" s="3">
        <v>10</v>
      </c>
      <c r="I13" s="3">
        <v>0.625</v>
      </c>
      <c r="J13" s="3">
        <v>5</v>
      </c>
      <c r="K13" s="2" t="s">
        <v>53</v>
      </c>
      <c r="L13" s="2" t="s">
        <v>54</v>
      </c>
      <c r="M13" s="2" t="s">
        <v>74</v>
      </c>
      <c r="N13" s="2" t="s">
        <v>56</v>
      </c>
    </row>
    <row r="14" spans="1:14" x14ac:dyDescent="0.35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52</v>
      </c>
      <c r="F14" s="3">
        <v>0.5</v>
      </c>
      <c r="G14" s="3">
        <v>0.05</v>
      </c>
      <c r="H14" s="3">
        <v>1.5</v>
      </c>
      <c r="I14" s="3">
        <v>0.25</v>
      </c>
      <c r="J14" s="3">
        <v>0.75</v>
      </c>
      <c r="K14" s="2" t="s">
        <v>79</v>
      </c>
      <c r="L14" s="2" t="s">
        <v>54</v>
      </c>
      <c r="M14" s="2" t="s">
        <v>80</v>
      </c>
      <c r="N14" s="2" t="s">
        <v>81</v>
      </c>
    </row>
    <row r="15" spans="1:14" x14ac:dyDescent="0.35">
      <c r="A15" s="2" t="s">
        <v>75</v>
      </c>
      <c r="B15" s="2" t="s">
        <v>82</v>
      </c>
      <c r="C15" s="2" t="s">
        <v>83</v>
      </c>
      <c r="D15" s="2" t="s">
        <v>84</v>
      </c>
      <c r="E15" s="2" t="s">
        <v>52</v>
      </c>
      <c r="F15" s="3">
        <v>1.5</v>
      </c>
      <c r="G15" s="3">
        <v>0.15</v>
      </c>
      <c r="H15" s="3">
        <v>7.5</v>
      </c>
      <c r="I15" s="3">
        <v>0.75</v>
      </c>
      <c r="J15" s="3">
        <v>3.75</v>
      </c>
      <c r="K15" s="2" t="s">
        <v>79</v>
      </c>
      <c r="L15" s="2" t="s">
        <v>54</v>
      </c>
      <c r="M15" s="2" t="s">
        <v>85</v>
      </c>
      <c r="N15" s="2" t="s">
        <v>81</v>
      </c>
    </row>
    <row r="16" spans="1:14" x14ac:dyDescent="0.35">
      <c r="A16" s="2" t="s">
        <v>75</v>
      </c>
      <c r="B16" s="2" t="s">
        <v>86</v>
      </c>
      <c r="C16" s="2" t="s">
        <v>87</v>
      </c>
      <c r="D16" s="2" t="s">
        <v>88</v>
      </c>
      <c r="E16" s="2" t="s">
        <v>52</v>
      </c>
      <c r="F16" s="3">
        <v>0.15</v>
      </c>
      <c r="G16" s="3">
        <v>1.4999999999999999E-2</v>
      </c>
      <c r="H16" s="3">
        <v>0.6</v>
      </c>
      <c r="I16" s="3">
        <v>7.4999999999999997E-2</v>
      </c>
      <c r="J16" s="3">
        <v>0.3</v>
      </c>
      <c r="K16" s="2" t="s">
        <v>79</v>
      </c>
      <c r="L16" s="2" t="s">
        <v>54</v>
      </c>
      <c r="M16" s="2" t="s">
        <v>89</v>
      </c>
      <c r="N16" s="2" t="s">
        <v>81</v>
      </c>
    </row>
    <row r="17" spans="1:14" x14ac:dyDescent="0.35">
      <c r="A17" s="2" t="s">
        <v>75</v>
      </c>
      <c r="B17" s="2" t="s">
        <v>90</v>
      </c>
      <c r="C17" s="2" t="s">
        <v>91</v>
      </c>
      <c r="D17" s="2" t="s">
        <v>92</v>
      </c>
      <c r="E17" s="2" t="s">
        <v>52</v>
      </c>
      <c r="F17" s="3">
        <v>0.2</v>
      </c>
      <c r="G17" s="3">
        <v>0.02</v>
      </c>
      <c r="H17" s="3">
        <v>0.2</v>
      </c>
      <c r="I17" s="3">
        <v>0.1</v>
      </c>
      <c r="J17" s="3">
        <v>0.1</v>
      </c>
      <c r="K17" s="2" t="s">
        <v>79</v>
      </c>
      <c r="L17" s="2" t="s">
        <v>54</v>
      </c>
      <c r="M17" s="2"/>
      <c r="N17" s="2" t="s">
        <v>81</v>
      </c>
    </row>
    <row r="18" spans="1:14" x14ac:dyDescent="0.35">
      <c r="A18" s="2" t="s">
        <v>75</v>
      </c>
      <c r="B18" s="2" t="s">
        <v>93</v>
      </c>
      <c r="C18" s="2" t="s">
        <v>94</v>
      </c>
      <c r="D18" s="2" t="s">
        <v>92</v>
      </c>
      <c r="E18" s="2" t="s">
        <v>52</v>
      </c>
      <c r="F18" s="3">
        <v>0.15</v>
      </c>
      <c r="G18" s="3">
        <v>1.4999999999999999E-2</v>
      </c>
      <c r="H18" s="3">
        <v>0.15</v>
      </c>
      <c r="I18" s="3">
        <v>7.4999999999999997E-2</v>
      </c>
      <c r="J18" s="3">
        <v>7.4999999999999997E-2</v>
      </c>
      <c r="K18" s="2" t="s">
        <v>79</v>
      </c>
      <c r="L18" s="2" t="s">
        <v>54</v>
      </c>
      <c r="M18" s="2"/>
      <c r="N18" s="2" t="s">
        <v>81</v>
      </c>
    </row>
    <row r="19" spans="1:14" x14ac:dyDescent="0.35">
      <c r="A19" s="2" t="s">
        <v>75</v>
      </c>
      <c r="B19" s="2" t="s">
        <v>95</v>
      </c>
      <c r="C19" s="2" t="s">
        <v>96</v>
      </c>
      <c r="D19" s="2" t="s">
        <v>92</v>
      </c>
      <c r="E19" s="2" t="s">
        <v>52</v>
      </c>
      <c r="F19" s="3">
        <v>0.1</v>
      </c>
      <c r="G19" s="3">
        <v>0.01</v>
      </c>
      <c r="H19" s="3">
        <v>0.1</v>
      </c>
      <c r="I19" s="3">
        <v>0.05</v>
      </c>
      <c r="J19" s="3">
        <v>0.05</v>
      </c>
      <c r="K19" s="2" t="s">
        <v>79</v>
      </c>
      <c r="L19" s="2" t="s">
        <v>54</v>
      </c>
      <c r="M19" s="2"/>
      <c r="N19" s="2" t="s">
        <v>81</v>
      </c>
    </row>
    <row r="20" spans="1:14" x14ac:dyDescent="0.35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73</v>
      </c>
      <c r="F20" s="3">
        <v>0.15</v>
      </c>
      <c r="G20" s="2"/>
      <c r="H20" s="3">
        <v>0.6</v>
      </c>
      <c r="I20" s="3">
        <v>7.4999999999999997E-2</v>
      </c>
      <c r="J20" s="3">
        <v>0.3</v>
      </c>
      <c r="K20" s="2" t="s">
        <v>19</v>
      </c>
      <c r="L20" s="2" t="s">
        <v>37</v>
      </c>
      <c r="M20" s="2" t="s">
        <v>101</v>
      </c>
      <c r="N20" s="2" t="s">
        <v>102</v>
      </c>
    </row>
    <row r="21" spans="1:14" x14ac:dyDescent="0.35">
      <c r="A21" s="2" t="s">
        <v>97</v>
      </c>
      <c r="B21" s="2" t="s">
        <v>103</v>
      </c>
      <c r="C21" s="2" t="s">
        <v>104</v>
      </c>
      <c r="D21" s="2" t="s">
        <v>105</v>
      </c>
      <c r="E21" s="2" t="s">
        <v>73</v>
      </c>
      <c r="F21" s="3">
        <v>0.66</v>
      </c>
      <c r="G21" s="2"/>
      <c r="H21" s="3">
        <v>1.98</v>
      </c>
      <c r="I21" s="3">
        <v>0.33</v>
      </c>
      <c r="J21" s="3">
        <v>0.99</v>
      </c>
      <c r="K21" s="2" t="s">
        <v>19</v>
      </c>
      <c r="L21" s="2" t="s">
        <v>20</v>
      </c>
      <c r="M21" s="2" t="s">
        <v>106</v>
      </c>
      <c r="N21" s="2" t="s">
        <v>102</v>
      </c>
    </row>
    <row r="22" spans="1:14" x14ac:dyDescent="0.35">
      <c r="A22" s="2" t="s">
        <v>107</v>
      </c>
      <c r="B22" s="2" t="s">
        <v>108</v>
      </c>
      <c r="C22" s="2" t="s">
        <v>109</v>
      </c>
      <c r="D22" s="2" t="s">
        <v>78</v>
      </c>
      <c r="E22" s="2" t="s">
        <v>110</v>
      </c>
      <c r="F22" s="3">
        <v>2</v>
      </c>
      <c r="G22" s="3">
        <v>0.5</v>
      </c>
      <c r="H22" s="3">
        <v>6</v>
      </c>
      <c r="I22" s="3">
        <v>1</v>
      </c>
      <c r="J22" s="3">
        <v>3</v>
      </c>
      <c r="K22" s="2" t="s">
        <v>19</v>
      </c>
      <c r="L22" s="2" t="s">
        <v>20</v>
      </c>
      <c r="M22" s="2" t="s">
        <v>111</v>
      </c>
      <c r="N22" s="2" t="s">
        <v>112</v>
      </c>
    </row>
    <row r="23" spans="1:14" x14ac:dyDescent="0.35">
      <c r="A23" s="2" t="s">
        <v>107</v>
      </c>
      <c r="B23" s="2" t="s">
        <v>113</v>
      </c>
      <c r="C23" s="2" t="s">
        <v>114</v>
      </c>
      <c r="D23" s="2" t="s">
        <v>115</v>
      </c>
      <c r="E23" s="2" t="s">
        <v>110</v>
      </c>
      <c r="F23" s="3">
        <v>2</v>
      </c>
      <c r="G23" s="3">
        <v>0.3</v>
      </c>
      <c r="H23" s="3">
        <v>6</v>
      </c>
      <c r="I23" s="3">
        <v>1</v>
      </c>
      <c r="J23" s="3">
        <v>3</v>
      </c>
      <c r="K23" s="2" t="s">
        <v>19</v>
      </c>
      <c r="L23" s="2" t="s">
        <v>20</v>
      </c>
      <c r="M23" s="2" t="s">
        <v>111</v>
      </c>
      <c r="N23" s="2" t="s">
        <v>112</v>
      </c>
    </row>
    <row r="24" spans="1:14" x14ac:dyDescent="0.35">
      <c r="A24" s="2" t="s">
        <v>107</v>
      </c>
      <c r="B24" s="2" t="s">
        <v>116</v>
      </c>
      <c r="C24" s="2" t="s">
        <v>117</v>
      </c>
      <c r="D24" s="2" t="s">
        <v>115</v>
      </c>
      <c r="E24" s="2" t="s">
        <v>73</v>
      </c>
      <c r="F24" s="3">
        <v>1.25</v>
      </c>
      <c r="G24" s="3">
        <v>0.2</v>
      </c>
      <c r="H24" s="3">
        <v>2.5</v>
      </c>
      <c r="I24" s="3">
        <v>0.625</v>
      </c>
      <c r="J24" s="3">
        <v>1.25</v>
      </c>
      <c r="K24" s="2" t="s">
        <v>19</v>
      </c>
      <c r="L24" s="2" t="s">
        <v>20</v>
      </c>
      <c r="M24" s="2" t="s">
        <v>111</v>
      </c>
      <c r="N24" s="2" t="s">
        <v>112</v>
      </c>
    </row>
    <row r="25" spans="1:14" x14ac:dyDescent="0.35">
      <c r="A25" s="2" t="s">
        <v>107</v>
      </c>
      <c r="B25" s="2" t="s">
        <v>118</v>
      </c>
      <c r="C25" s="2" t="s">
        <v>119</v>
      </c>
      <c r="D25" s="2" t="s">
        <v>120</v>
      </c>
      <c r="E25" s="2" t="s">
        <v>73</v>
      </c>
      <c r="F25" s="3">
        <v>1.25</v>
      </c>
      <c r="G25" s="3">
        <v>0.2</v>
      </c>
      <c r="H25" s="3">
        <v>2.5</v>
      </c>
      <c r="I25" s="3">
        <v>0.625</v>
      </c>
      <c r="J25" s="3">
        <v>1.25</v>
      </c>
      <c r="K25" s="2" t="s">
        <v>19</v>
      </c>
      <c r="L25" s="2" t="s">
        <v>20</v>
      </c>
      <c r="M25" s="2"/>
      <c r="N25" s="2" t="s">
        <v>112</v>
      </c>
    </row>
    <row r="26" spans="1:14" x14ac:dyDescent="0.35">
      <c r="A26" s="2" t="s">
        <v>107</v>
      </c>
      <c r="B26" s="2" t="s">
        <v>121</v>
      </c>
      <c r="C26" s="2" t="s">
        <v>122</v>
      </c>
      <c r="D26" s="2" t="s">
        <v>123</v>
      </c>
      <c r="E26" s="2" t="s">
        <v>73</v>
      </c>
      <c r="F26" s="3">
        <v>1.25</v>
      </c>
      <c r="G26" s="3">
        <v>0.2</v>
      </c>
      <c r="H26" s="3">
        <v>2.5</v>
      </c>
      <c r="I26" s="3">
        <v>0.625</v>
      </c>
      <c r="J26" s="3">
        <v>1.25</v>
      </c>
      <c r="K26" s="2" t="s">
        <v>19</v>
      </c>
      <c r="L26" s="2" t="s">
        <v>20</v>
      </c>
      <c r="M26" s="2"/>
      <c r="N26" s="2" t="s">
        <v>112</v>
      </c>
    </row>
    <row r="27" spans="1:14" x14ac:dyDescent="0.35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52</v>
      </c>
      <c r="F27" s="2" t="s">
        <v>128</v>
      </c>
      <c r="G27" s="2" t="s">
        <v>128</v>
      </c>
      <c r="H27" s="2" t="s">
        <v>128</v>
      </c>
      <c r="I27" s="2"/>
      <c r="J27" s="2"/>
      <c r="K27" s="2" t="s">
        <v>36</v>
      </c>
      <c r="L27" s="2" t="s">
        <v>20</v>
      </c>
      <c r="M27" s="2" t="s">
        <v>129</v>
      </c>
      <c r="N27" s="2" t="s">
        <v>130</v>
      </c>
    </row>
    <row r="28" spans="1:14" x14ac:dyDescent="0.35">
      <c r="A28" s="2" t="s">
        <v>124</v>
      </c>
      <c r="B28" s="2" t="s">
        <v>131</v>
      </c>
      <c r="C28" s="2" t="s">
        <v>132</v>
      </c>
      <c r="D28" s="2" t="s">
        <v>123</v>
      </c>
      <c r="E28" s="2" t="s">
        <v>52</v>
      </c>
      <c r="F28" s="2" t="s">
        <v>128</v>
      </c>
      <c r="G28" s="2" t="s">
        <v>128</v>
      </c>
      <c r="H28" s="2" t="s">
        <v>128</v>
      </c>
      <c r="I28" s="2"/>
      <c r="J28" s="2"/>
      <c r="K28" s="2" t="s">
        <v>36</v>
      </c>
      <c r="L28" s="2" t="s">
        <v>20</v>
      </c>
      <c r="M28" s="2" t="s">
        <v>133</v>
      </c>
      <c r="N28" s="2" t="s">
        <v>130</v>
      </c>
    </row>
    <row r="29" spans="1:14" ht="29" x14ac:dyDescent="0.35">
      <c r="A29" s="2" t="s">
        <v>124</v>
      </c>
      <c r="B29" s="2" t="s">
        <v>134</v>
      </c>
      <c r="C29" s="2" t="s">
        <v>135</v>
      </c>
      <c r="D29" s="2" t="s">
        <v>136</v>
      </c>
      <c r="E29" s="2" t="s">
        <v>52</v>
      </c>
      <c r="F29" s="2" t="s">
        <v>137</v>
      </c>
      <c r="G29" s="2" t="s">
        <v>137</v>
      </c>
      <c r="H29" s="2" t="s">
        <v>137</v>
      </c>
      <c r="I29" s="2"/>
      <c r="J29" s="2"/>
      <c r="K29" s="2" t="s">
        <v>36</v>
      </c>
      <c r="L29" s="2" t="s">
        <v>20</v>
      </c>
      <c r="M29" s="2" t="s">
        <v>138</v>
      </c>
      <c r="N29" s="2" t="s">
        <v>130</v>
      </c>
    </row>
    <row r="30" spans="1:14" ht="29" x14ac:dyDescent="0.35">
      <c r="A30" s="2" t="s">
        <v>124</v>
      </c>
      <c r="B30" s="2" t="s">
        <v>139</v>
      </c>
      <c r="C30" s="2" t="s">
        <v>140</v>
      </c>
      <c r="D30" s="2" t="s">
        <v>141</v>
      </c>
      <c r="E30" s="2" t="s">
        <v>52</v>
      </c>
      <c r="F30" s="2" t="s">
        <v>137</v>
      </c>
      <c r="G30" s="2" t="s">
        <v>137</v>
      </c>
      <c r="H30" s="2" t="s">
        <v>137</v>
      </c>
      <c r="I30" s="2"/>
      <c r="J30" s="2"/>
      <c r="K30" s="2" t="s">
        <v>36</v>
      </c>
      <c r="L30" s="2" t="s">
        <v>20</v>
      </c>
      <c r="M30" s="2" t="s">
        <v>138</v>
      </c>
      <c r="N30" s="2" t="s">
        <v>130</v>
      </c>
    </row>
    <row r="31" spans="1:14" x14ac:dyDescent="0.35">
      <c r="A31" s="2" t="s">
        <v>124</v>
      </c>
      <c r="B31" s="2" t="s">
        <v>142</v>
      </c>
      <c r="C31" s="2" t="s">
        <v>143</v>
      </c>
      <c r="D31" s="2" t="s">
        <v>144</v>
      </c>
      <c r="E31" s="2" t="s">
        <v>52</v>
      </c>
      <c r="F31" s="3">
        <v>0.5</v>
      </c>
      <c r="G31" s="2"/>
      <c r="H31" s="3">
        <v>1.5</v>
      </c>
      <c r="I31" s="2"/>
      <c r="J31" s="2"/>
      <c r="K31" s="2" t="s">
        <v>145</v>
      </c>
      <c r="L31" s="2" t="s">
        <v>20</v>
      </c>
      <c r="M31" s="2" t="s">
        <v>146</v>
      </c>
      <c r="N31" s="2" t="s">
        <v>147</v>
      </c>
    </row>
    <row r="32" spans="1:14" x14ac:dyDescent="0.35">
      <c r="A32" s="2" t="s">
        <v>124</v>
      </c>
      <c r="B32" s="2" t="s">
        <v>148</v>
      </c>
      <c r="C32" s="2" t="s">
        <v>149</v>
      </c>
      <c r="D32" s="2" t="s">
        <v>144</v>
      </c>
      <c r="E32" s="2" t="s">
        <v>52</v>
      </c>
      <c r="F32" s="3">
        <v>3</v>
      </c>
      <c r="G32" s="2"/>
      <c r="H32" s="3">
        <v>15</v>
      </c>
      <c r="I32" s="2"/>
      <c r="J32" s="2"/>
      <c r="K32" s="2" t="s">
        <v>145</v>
      </c>
      <c r="L32" s="2" t="s">
        <v>20</v>
      </c>
      <c r="M32" s="2" t="s">
        <v>146</v>
      </c>
      <c r="N32" s="2" t="s">
        <v>147</v>
      </c>
    </row>
    <row r="33" spans="1:14" ht="29" x14ac:dyDescent="0.35">
      <c r="A33" s="2" t="s">
        <v>150</v>
      </c>
      <c r="B33" s="2" t="s">
        <v>151</v>
      </c>
      <c r="C33" s="2" t="s">
        <v>152</v>
      </c>
      <c r="D33" s="2" t="s">
        <v>78</v>
      </c>
      <c r="E33" s="2" t="s">
        <v>73</v>
      </c>
      <c r="F33" s="3">
        <v>1.65</v>
      </c>
      <c r="G33" s="2"/>
      <c r="H33" s="3">
        <v>4.9509999999999996</v>
      </c>
      <c r="I33" s="3">
        <v>0.82499999999999996</v>
      </c>
      <c r="J33" s="3">
        <v>2.4750000000000001</v>
      </c>
      <c r="K33" s="2" t="s">
        <v>153</v>
      </c>
      <c r="L33" s="2" t="s">
        <v>20</v>
      </c>
      <c r="M33" s="2" t="s">
        <v>154</v>
      </c>
      <c r="N33" s="2" t="s">
        <v>155</v>
      </c>
    </row>
    <row r="34" spans="1:14" ht="29" x14ac:dyDescent="0.35">
      <c r="A34" s="2" t="s">
        <v>150</v>
      </c>
      <c r="B34" s="2" t="s">
        <v>156</v>
      </c>
      <c r="C34" s="2" t="s">
        <v>157</v>
      </c>
      <c r="D34" s="2" t="s">
        <v>158</v>
      </c>
      <c r="E34" s="2" t="s">
        <v>73</v>
      </c>
      <c r="F34" s="3">
        <v>0.4</v>
      </c>
      <c r="G34" s="2"/>
      <c r="H34" s="3">
        <v>2.4</v>
      </c>
      <c r="I34" s="2"/>
      <c r="J34" s="2"/>
      <c r="K34" s="2" t="s">
        <v>153</v>
      </c>
      <c r="L34" s="2" t="s">
        <v>20</v>
      </c>
      <c r="M34" s="2" t="s">
        <v>159</v>
      </c>
      <c r="N34" s="2" t="s">
        <v>160</v>
      </c>
    </row>
    <row r="35" spans="1:14" ht="29" x14ac:dyDescent="0.35">
      <c r="A35" s="2" t="s">
        <v>150</v>
      </c>
      <c r="B35" s="2" t="s">
        <v>161</v>
      </c>
      <c r="C35" s="2" t="s">
        <v>162</v>
      </c>
      <c r="D35" s="2" t="s">
        <v>68</v>
      </c>
      <c r="E35" s="2" t="s">
        <v>73</v>
      </c>
      <c r="F35" s="3">
        <v>2.9000000000000001E-2</v>
      </c>
      <c r="G35" s="2"/>
      <c r="H35" s="3">
        <v>0.28699999999999998</v>
      </c>
      <c r="I35" s="2"/>
      <c r="J35" s="2"/>
      <c r="K35" s="2" t="s">
        <v>153</v>
      </c>
      <c r="L35" s="2" t="s">
        <v>20</v>
      </c>
      <c r="M35" s="2" t="s">
        <v>163</v>
      </c>
      <c r="N35" s="2" t="s">
        <v>164</v>
      </c>
    </row>
    <row r="36" spans="1:14" ht="29" x14ac:dyDescent="0.35">
      <c r="A36" s="2" t="s">
        <v>150</v>
      </c>
      <c r="B36" s="2" t="s">
        <v>165</v>
      </c>
      <c r="C36" s="2" t="s">
        <v>166</v>
      </c>
      <c r="D36" s="2" t="s">
        <v>78</v>
      </c>
      <c r="E36" s="2" t="s">
        <v>167</v>
      </c>
      <c r="F36" s="3">
        <v>0.35899999999999999</v>
      </c>
      <c r="G36" s="2"/>
      <c r="H36" s="3">
        <v>1.4339999999999999</v>
      </c>
      <c r="I36" s="3">
        <v>0.18</v>
      </c>
      <c r="J36" s="3">
        <v>0.71699999999999997</v>
      </c>
      <c r="K36" s="2" t="s">
        <v>153</v>
      </c>
      <c r="L36" s="2" t="s">
        <v>20</v>
      </c>
      <c r="M36" s="2" t="s">
        <v>168</v>
      </c>
      <c r="N36" s="2" t="s">
        <v>169</v>
      </c>
    </row>
    <row r="37" spans="1:14" ht="29" x14ac:dyDescent="0.35">
      <c r="A37" s="2" t="s">
        <v>150</v>
      </c>
      <c r="B37" s="2" t="s">
        <v>170</v>
      </c>
      <c r="C37" s="2" t="s">
        <v>171</v>
      </c>
      <c r="D37" s="2" t="s">
        <v>172</v>
      </c>
      <c r="E37" s="2" t="s">
        <v>73</v>
      </c>
      <c r="F37" s="3">
        <v>1</v>
      </c>
      <c r="G37" s="2"/>
      <c r="H37" s="3">
        <v>5</v>
      </c>
      <c r="I37" s="2"/>
      <c r="J37" s="2"/>
      <c r="K37" s="2" t="s">
        <v>153</v>
      </c>
      <c r="L37" s="2" t="s">
        <v>20</v>
      </c>
      <c r="M37" s="2" t="s">
        <v>173</v>
      </c>
      <c r="N37" s="2" t="s">
        <v>155</v>
      </c>
    </row>
    <row r="38" spans="1:14" ht="29" x14ac:dyDescent="0.35">
      <c r="A38" s="2" t="s">
        <v>150</v>
      </c>
      <c r="B38" s="2" t="s">
        <v>174</v>
      </c>
      <c r="C38" s="2" t="s">
        <v>175</v>
      </c>
      <c r="D38" s="2" t="s">
        <v>172</v>
      </c>
      <c r="E38" s="2" t="s">
        <v>73</v>
      </c>
      <c r="F38" s="3">
        <v>0.3</v>
      </c>
      <c r="G38" s="2"/>
      <c r="H38" s="3">
        <v>1.5</v>
      </c>
      <c r="I38" s="2"/>
      <c r="J38" s="2"/>
      <c r="K38" s="2" t="s">
        <v>153</v>
      </c>
      <c r="L38" s="2" t="s">
        <v>20</v>
      </c>
      <c r="M38" s="2" t="s">
        <v>173</v>
      </c>
      <c r="N38" s="2" t="s">
        <v>155</v>
      </c>
    </row>
    <row r="39" spans="1:14" ht="29" x14ac:dyDescent="0.35">
      <c r="A39" s="2" t="s">
        <v>150</v>
      </c>
      <c r="B39" s="2" t="s">
        <v>176</v>
      </c>
      <c r="C39" s="2" t="s">
        <v>177</v>
      </c>
      <c r="D39" s="2" t="s">
        <v>178</v>
      </c>
      <c r="E39" s="2" t="s">
        <v>52</v>
      </c>
      <c r="F39" s="3">
        <v>0.7</v>
      </c>
      <c r="G39" s="2"/>
      <c r="H39" s="3">
        <v>2.8</v>
      </c>
      <c r="I39" s="2"/>
      <c r="J39" s="2"/>
      <c r="K39" s="2" t="s">
        <v>153</v>
      </c>
      <c r="L39" s="2" t="s">
        <v>20</v>
      </c>
      <c r="M39" s="2" t="s">
        <v>179</v>
      </c>
      <c r="N39" s="2" t="s">
        <v>155</v>
      </c>
    </row>
    <row r="40" spans="1:14" ht="29" x14ac:dyDescent="0.35">
      <c r="A40" s="2" t="s">
        <v>150</v>
      </c>
      <c r="B40" s="2" t="s">
        <v>180</v>
      </c>
      <c r="C40" s="2" t="s">
        <v>181</v>
      </c>
      <c r="D40" s="2" t="s">
        <v>182</v>
      </c>
      <c r="E40" s="2" t="s">
        <v>52</v>
      </c>
      <c r="F40" s="3">
        <v>0.16</v>
      </c>
      <c r="G40" s="2"/>
      <c r="H40" s="3">
        <v>0.64</v>
      </c>
      <c r="I40" s="2"/>
      <c r="J40" s="2"/>
      <c r="K40" s="2" t="s">
        <v>153</v>
      </c>
      <c r="L40" s="2" t="s">
        <v>20</v>
      </c>
      <c r="M40" s="2"/>
      <c r="N40" s="2" t="s">
        <v>155</v>
      </c>
    </row>
    <row r="41" spans="1:14" ht="29" x14ac:dyDescent="0.35">
      <c r="A41" s="2" t="s">
        <v>150</v>
      </c>
      <c r="B41" s="2" t="s">
        <v>183</v>
      </c>
      <c r="C41" s="2" t="s">
        <v>184</v>
      </c>
      <c r="D41" s="2" t="s">
        <v>185</v>
      </c>
      <c r="E41" s="2" t="s">
        <v>52</v>
      </c>
      <c r="F41" s="3">
        <v>0.18</v>
      </c>
      <c r="G41" s="2"/>
      <c r="H41" s="3">
        <v>0.7</v>
      </c>
      <c r="I41" s="2"/>
      <c r="J41" s="2"/>
      <c r="K41" s="2" t="s">
        <v>153</v>
      </c>
      <c r="L41" s="2" t="s">
        <v>20</v>
      </c>
      <c r="M41" s="2"/>
      <c r="N41" s="2" t="s">
        <v>155</v>
      </c>
    </row>
    <row r="42" spans="1:14" x14ac:dyDescent="0.35">
      <c r="A42" s="2" t="s">
        <v>186</v>
      </c>
      <c r="B42" s="2" t="s">
        <v>187</v>
      </c>
      <c r="C42" s="2" t="s">
        <v>188</v>
      </c>
      <c r="D42" s="2" t="s">
        <v>189</v>
      </c>
      <c r="E42" s="2" t="s">
        <v>190</v>
      </c>
      <c r="F42" s="3">
        <v>0.15</v>
      </c>
      <c r="G42" s="3">
        <v>7.4999999999999997E-2</v>
      </c>
      <c r="H42" s="3">
        <v>0.6</v>
      </c>
      <c r="I42" s="2"/>
      <c r="J42" s="2"/>
      <c r="K42" s="2" t="s">
        <v>191</v>
      </c>
      <c r="L42" s="2" t="s">
        <v>20</v>
      </c>
      <c r="M42" s="2" t="s">
        <v>192</v>
      </c>
      <c r="N42" s="2" t="s">
        <v>193</v>
      </c>
    </row>
    <row r="43" spans="1:14" x14ac:dyDescent="0.35">
      <c r="A43" s="2" t="s">
        <v>186</v>
      </c>
      <c r="B43" s="2" t="s">
        <v>194</v>
      </c>
      <c r="C43" s="2" t="s">
        <v>195</v>
      </c>
      <c r="D43" s="2" t="s">
        <v>189</v>
      </c>
      <c r="E43" s="2" t="s">
        <v>190</v>
      </c>
      <c r="F43" s="3">
        <v>7.4999999999999997E-2</v>
      </c>
      <c r="G43" s="3">
        <v>3.6999999999999998E-2</v>
      </c>
      <c r="H43" s="3">
        <v>0.3</v>
      </c>
      <c r="I43" s="2"/>
      <c r="J43" s="2"/>
      <c r="K43" s="2" t="s">
        <v>191</v>
      </c>
      <c r="L43" s="2" t="s">
        <v>20</v>
      </c>
      <c r="M43" s="2" t="s">
        <v>196</v>
      </c>
      <c r="N43" s="2" t="s">
        <v>193</v>
      </c>
    </row>
    <row r="44" spans="1:14" x14ac:dyDescent="0.35">
      <c r="A44" s="2" t="s">
        <v>186</v>
      </c>
      <c r="B44" s="2" t="s">
        <v>197</v>
      </c>
      <c r="C44" s="2" t="s">
        <v>198</v>
      </c>
      <c r="D44" s="2" t="s">
        <v>199</v>
      </c>
      <c r="E44" s="2" t="s">
        <v>190</v>
      </c>
      <c r="F44" s="2" t="s">
        <v>128</v>
      </c>
      <c r="G44" s="2"/>
      <c r="H44" s="2" t="s">
        <v>128</v>
      </c>
      <c r="I44" s="2"/>
      <c r="J44" s="2"/>
      <c r="K44" s="2" t="s">
        <v>191</v>
      </c>
      <c r="L44" s="2" t="s">
        <v>20</v>
      </c>
      <c r="M44" s="2"/>
      <c r="N44" s="2" t="s">
        <v>193</v>
      </c>
    </row>
    <row r="45" spans="1:14" x14ac:dyDescent="0.35">
      <c r="A45" s="2" t="s">
        <v>186</v>
      </c>
      <c r="B45" s="2" t="s">
        <v>200</v>
      </c>
      <c r="C45" s="2" t="s">
        <v>201</v>
      </c>
      <c r="D45" s="2" t="s">
        <v>202</v>
      </c>
      <c r="E45" s="2" t="s">
        <v>190</v>
      </c>
      <c r="F45" s="2" t="s">
        <v>128</v>
      </c>
      <c r="G45" s="2"/>
      <c r="H45" s="2" t="s">
        <v>128</v>
      </c>
      <c r="I45" s="2"/>
      <c r="J45" s="2"/>
      <c r="K45" s="2" t="s">
        <v>191</v>
      </c>
      <c r="L45" s="2" t="s">
        <v>20</v>
      </c>
      <c r="M45" s="2"/>
      <c r="N45" s="2" t="s">
        <v>193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5" x14ac:dyDescent="0.35"/>
  <cols>
    <col min="1" max="1" width="24" customWidth="1"/>
    <col min="2" max="2" width="100" customWidth="1"/>
  </cols>
  <sheetData>
    <row r="1" spans="1:3" ht="23.5" x14ac:dyDescent="0.55000000000000004">
      <c r="A1" s="4" t="s">
        <v>203</v>
      </c>
    </row>
    <row r="3" spans="1:3" x14ac:dyDescent="0.35">
      <c r="A3" s="5" t="s">
        <v>204</v>
      </c>
      <c r="B3" t="s">
        <v>205</v>
      </c>
    </row>
    <row r="4" spans="1:3" x14ac:dyDescent="0.35">
      <c r="A4" s="5" t="s">
        <v>206</v>
      </c>
      <c r="B4">
        <v>95.86</v>
      </c>
      <c r="C4" t="s">
        <v>207</v>
      </c>
    </row>
    <row r="6" spans="1:3" x14ac:dyDescent="0.35">
      <c r="A6" s="5" t="s">
        <v>208</v>
      </c>
      <c r="B6">
        <v>9</v>
      </c>
    </row>
    <row r="7" spans="1:3" x14ac:dyDescent="0.35">
      <c r="A7" s="5" t="s">
        <v>209</v>
      </c>
      <c r="B7">
        <v>44</v>
      </c>
    </row>
    <row r="9" spans="1:3" ht="29" x14ac:dyDescent="0.35">
      <c r="A9" s="5" t="s">
        <v>210</v>
      </c>
      <c r="B9" s="6" t="s">
        <v>211</v>
      </c>
    </row>
    <row r="10" spans="1:3" x14ac:dyDescent="0.35">
      <c r="A10" s="5" t="s">
        <v>212</v>
      </c>
      <c r="B10" s="6" t="s">
        <v>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5" x14ac:dyDescent="0.35"/>
  <cols>
    <col min="1" max="1" width="28" customWidth="1"/>
    <col min="2" max="3" width="18" customWidth="1"/>
    <col min="4" max="4" width="15" customWidth="1"/>
    <col min="5" max="5" width="16" customWidth="1"/>
    <col min="6" max="7" width="18" customWidth="1"/>
  </cols>
  <sheetData>
    <row r="1" spans="1:7" x14ac:dyDescent="0.35">
      <c r="A1" s="7" t="s">
        <v>214</v>
      </c>
      <c r="B1" s="7" t="s">
        <v>215</v>
      </c>
      <c r="C1" s="7" t="s">
        <v>216</v>
      </c>
      <c r="D1" s="7" t="s">
        <v>5</v>
      </c>
      <c r="E1" s="7" t="s">
        <v>7</v>
      </c>
      <c r="F1" s="7" t="s">
        <v>217</v>
      </c>
      <c r="G1" s="7" t="s">
        <v>218</v>
      </c>
    </row>
    <row r="2" spans="1:7" x14ac:dyDescent="0.35">
      <c r="A2" t="s">
        <v>15</v>
      </c>
      <c r="B2">
        <v>1000000</v>
      </c>
      <c r="C2">
        <v>1000000</v>
      </c>
      <c r="D2">
        <v>4</v>
      </c>
      <c r="E2">
        <v>20</v>
      </c>
      <c r="F2" s="8">
        <f>(B2/1000000)*D2+(C2/1000000)*E2</f>
        <v>24</v>
      </c>
      <c r="G2" s="9">
        <f>F2*Summary!B4</f>
        <v>2300.64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5" x14ac:dyDescent="0.35"/>
  <cols>
    <col min="1" max="1" width="20" customWidth="1"/>
    <col min="2" max="2" width="75" customWidth="1"/>
    <col min="3" max="3" width="50" customWidth="1"/>
  </cols>
  <sheetData>
    <row r="1" spans="1:3" x14ac:dyDescent="0.35">
      <c r="A1" s="7" t="s">
        <v>0</v>
      </c>
      <c r="B1" s="7" t="s">
        <v>219</v>
      </c>
      <c r="C1" s="7" t="s">
        <v>220</v>
      </c>
    </row>
    <row r="2" spans="1:3" x14ac:dyDescent="0.35">
      <c r="A2" t="s">
        <v>14</v>
      </c>
      <c r="B2" t="s">
        <v>22</v>
      </c>
      <c r="C2" t="s">
        <v>221</v>
      </c>
    </row>
    <row r="3" spans="1:3" x14ac:dyDescent="0.35">
      <c r="A3" t="s">
        <v>14</v>
      </c>
      <c r="B3" t="s">
        <v>26</v>
      </c>
      <c r="C3" t="s">
        <v>222</v>
      </c>
    </row>
    <row r="4" spans="1:3" x14ac:dyDescent="0.35">
      <c r="A4" t="s">
        <v>31</v>
      </c>
      <c r="B4" t="s">
        <v>39</v>
      </c>
      <c r="C4" t="s">
        <v>223</v>
      </c>
    </row>
    <row r="5" spans="1:3" x14ac:dyDescent="0.35">
      <c r="A5" t="s">
        <v>48</v>
      </c>
      <c r="B5" t="s">
        <v>56</v>
      </c>
      <c r="C5" t="s">
        <v>224</v>
      </c>
    </row>
    <row r="6" spans="1:3" x14ac:dyDescent="0.35">
      <c r="A6" t="s">
        <v>48</v>
      </c>
      <c r="B6" t="s">
        <v>225</v>
      </c>
      <c r="C6" t="s">
        <v>226</v>
      </c>
    </row>
    <row r="7" spans="1:3" x14ac:dyDescent="0.35">
      <c r="A7" t="s">
        <v>75</v>
      </c>
      <c r="B7" t="s">
        <v>81</v>
      </c>
      <c r="C7" t="s">
        <v>227</v>
      </c>
    </row>
    <row r="8" spans="1:3" x14ac:dyDescent="0.35">
      <c r="A8" t="s">
        <v>97</v>
      </c>
      <c r="B8" t="s">
        <v>102</v>
      </c>
      <c r="C8" t="s">
        <v>228</v>
      </c>
    </row>
    <row r="9" spans="1:3" x14ac:dyDescent="0.35">
      <c r="A9" t="s">
        <v>107</v>
      </c>
      <c r="B9" t="s">
        <v>112</v>
      </c>
      <c r="C9" t="s">
        <v>229</v>
      </c>
    </row>
    <row r="10" spans="1:3" x14ac:dyDescent="0.35">
      <c r="A10" t="s">
        <v>124</v>
      </c>
      <c r="B10" t="s">
        <v>147</v>
      </c>
      <c r="C10" t="s">
        <v>230</v>
      </c>
    </row>
    <row r="11" spans="1:3" x14ac:dyDescent="0.35">
      <c r="A11" t="s">
        <v>124</v>
      </c>
      <c r="B11" t="s">
        <v>130</v>
      </c>
      <c r="C11" t="s">
        <v>231</v>
      </c>
    </row>
    <row r="12" spans="1:3" x14ac:dyDescent="0.35">
      <c r="A12" t="s">
        <v>150</v>
      </c>
      <c r="B12" t="s">
        <v>155</v>
      </c>
      <c r="C12" t="s">
        <v>232</v>
      </c>
    </row>
    <row r="13" spans="1:3" x14ac:dyDescent="0.35">
      <c r="A13" t="s">
        <v>186</v>
      </c>
      <c r="B13" t="s">
        <v>193</v>
      </c>
      <c r="C13" t="s">
        <v>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4.5" x14ac:dyDescent="0.35"/>
  <cols>
    <col min="1" max="1" width="25" customWidth="1"/>
    <col min="2" max="2" width="110" customWidth="1"/>
  </cols>
  <sheetData>
    <row r="1" spans="1:2" x14ac:dyDescent="0.35">
      <c r="A1" s="7" t="s">
        <v>234</v>
      </c>
      <c r="B1" s="7" t="s">
        <v>235</v>
      </c>
    </row>
    <row r="2" spans="1:2" x14ac:dyDescent="0.35">
      <c r="A2" t="s">
        <v>236</v>
      </c>
      <c r="B2" t="s">
        <v>237</v>
      </c>
    </row>
    <row r="3" spans="1:2" x14ac:dyDescent="0.35">
      <c r="A3" t="s">
        <v>238</v>
      </c>
      <c r="B3" t="s">
        <v>239</v>
      </c>
    </row>
    <row r="4" spans="1:2" x14ac:dyDescent="0.35">
      <c r="A4" t="s">
        <v>48</v>
      </c>
      <c r="B4" t="s">
        <v>240</v>
      </c>
    </row>
    <row r="5" spans="1:2" x14ac:dyDescent="0.35">
      <c r="A5" t="s">
        <v>97</v>
      </c>
      <c r="B5" t="s">
        <v>241</v>
      </c>
    </row>
    <row r="6" spans="1:2" x14ac:dyDescent="0.35">
      <c r="A6" t="s">
        <v>242</v>
      </c>
      <c r="B6" t="s">
        <v>243</v>
      </c>
    </row>
    <row r="7" spans="1:2" x14ac:dyDescent="0.35">
      <c r="A7" t="s">
        <v>244</v>
      </c>
      <c r="B7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LLM Pricing</vt:lpstr>
      <vt:lpstr>Summary</vt:lpstr>
      <vt:lpstr>Cost Calculator</vt:lpstr>
      <vt:lpstr>Official Sources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J</cp:lastModifiedBy>
  <dcterms:created xsi:type="dcterms:W3CDTF">2026-09-15T09:24:18Z</dcterms:created>
  <dcterms:modified xsi:type="dcterms:W3CDTF">2026-09-15T09:34:10Z</dcterms:modified>
</cp:coreProperties>
</file>